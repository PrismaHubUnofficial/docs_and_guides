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lla\Documents\GitHub\docs_and_guides\"/>
    </mc:Choice>
  </mc:AlternateContent>
  <xr:revisionPtr revIDLastSave="0" documentId="13_ncr:1_{5A36DE49-BAAB-445B-BB34-3DFF964E5010}" xr6:coauthVersionLast="47" xr6:coauthVersionMax="47" xr10:uidLastSave="{00000000-0000-0000-0000-000000000000}"/>
  <bookViews>
    <workbookView xWindow="7770" yWindow="-16320" windowWidth="29040" windowHeight="15720" xr2:uid="{00000000-000D-0000-FFFF-FFFF00000000}"/>
  </bookViews>
  <sheets>
    <sheet name="Robot x Attributi" sheetId="1" r:id="rId1"/>
    <sheet name="Riepilogo" sheetId="2" r:id="rId2"/>
    <sheet name="Legend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" i="1" l="1"/>
  <c r="W24" i="1"/>
  <c r="W23" i="1"/>
  <c r="W18" i="1"/>
  <c r="W14" i="1"/>
  <c r="W13" i="1"/>
  <c r="W12" i="1"/>
  <c r="W11" i="1"/>
  <c r="W10" i="1"/>
  <c r="W4" i="1"/>
  <c r="W3" i="1"/>
  <c r="W2" i="1"/>
</calcChain>
</file>

<file path=xl/sharedStrings.xml><?xml version="1.0" encoding="utf-8"?>
<sst xmlns="http://schemas.openxmlformats.org/spreadsheetml/2006/main" count="746" uniqueCount="116">
  <si>
    <t>Categoria</t>
  </si>
  <si>
    <t>Robot</t>
  </si>
  <si>
    <t>Immagine</t>
  </si>
  <si>
    <t>System owner</t>
  </si>
  <si>
    <t>Last validated</t>
  </si>
  <si>
    <t>Overview section</t>
  </si>
  <si>
    <t>Platform type</t>
  </si>
  <si>
    <t>Safety requirements</t>
  </si>
  <si>
    <t>Pre-op checklist</t>
  </si>
  <si>
    <t>Startup procedure</t>
  </si>
  <si>
    <t>Basic operation</t>
  </si>
  <si>
    <t>Shutdown procedure</t>
  </si>
  <si>
    <t>Troubleshooting</t>
  </si>
  <si>
    <t>Maintenance notes</t>
  </si>
  <si>
    <t>Change log</t>
  </si>
  <si>
    <t>Power / battery</t>
  </si>
  <si>
    <t>Charging / external power</t>
  </si>
  <si>
    <t>Controller / teleoperation</t>
  </si>
  <si>
    <t>Modes / app</t>
  </si>
  <si>
    <t>Software / network / SSH</t>
  </si>
  <si>
    <t>Hardware notes</t>
  </si>
  <si>
    <t>Completezza standard</t>
  </si>
  <si>
    <t>Titolo documento</t>
  </si>
  <si>
    <t>Aerial</t>
  </si>
  <si>
    <t>baby_k</t>
  </si>
  <si>
    <t>Inferita</t>
  </si>
  <si>
    <t>Presente</t>
  </si>
  <si>
    <t>Mancante</t>
  </si>
  <si>
    <t>baby_k – Tilting UAV with H-Configuration Manual Operation Guide</t>
  </si>
  <si>
    <t>dummy</t>
  </si>
  <si>
    <t>Dichiarata</t>
  </si>
  <si>
    <t>TBD</t>
  </si>
  <si>
    <t>Parziale</t>
  </si>
  <si>
    <t>Dummy - Manual Operation</t>
  </si>
  <si>
    <t>leonardo</t>
  </si>
  <si>
    <t>Leonardo - Manual Operation</t>
  </si>
  <si>
    <t>Legged</t>
  </si>
  <si>
    <t>anymal</t>
  </si>
  <si>
    <t>ANYmal – Power, Charging, and Manual Operation Guide</t>
  </si>
  <si>
    <t>h1</t>
  </si>
  <si>
    <t>H1 – Battery Management and Manual Operation Guide</t>
  </si>
  <si>
    <t>Manipulator</t>
  </si>
  <si>
    <t>Armando - Manual Operation</t>
  </si>
  <si>
    <t>Franka - Manual Operation</t>
  </si>
  <si>
    <t>kuka_iiwa</t>
  </si>
  <si>
    <t>Kuka iiwa - Manual Operation</t>
  </si>
  <si>
    <t>Others</t>
  </si>
  <si>
    <t>falcon</t>
  </si>
  <si>
    <t>Falcon - Manual Operation</t>
  </si>
  <si>
    <t>Haption - Manual Operation</t>
  </si>
  <si>
    <t>Wheeled</t>
  </si>
  <si>
    <t>fra2mo</t>
  </si>
  <si>
    <t>fra2mo - Manual Operation</t>
  </si>
  <si>
    <t>rover</t>
  </si>
  <si>
    <t>Rover – Power, NUC Setup, and Connection Guide</t>
  </si>
  <si>
    <t>Riepilogo matrice robot</t>
  </si>
  <si>
    <t>N. robot</t>
  </si>
  <si>
    <t>Attributo</t>
  </si>
  <si>
    <t>Stato / valore</t>
  </si>
  <si>
    <t>Significato</t>
  </si>
  <si>
    <t>Il dato o la sezione è disponibile nel file Markdown.</t>
  </si>
  <si>
    <t>Il dato è citato o deducibile, ma non come requirement completo/strutturato.</t>
  </si>
  <si>
    <t>Il campo è previsto dal template, ma il valore è ancora da compilare.</t>
  </si>
  <si>
    <t>Il dato non è stato trovato nel file.</t>
  </si>
  <si>
    <t>La categoria è esplicitamente presente nella sezione Platform Type.</t>
  </si>
  <si>
    <t>La categoria è stata dedotta da contenuto, nome robot o tipologia.</t>
  </si>
  <si>
    <t>Requirement standard usati per la completezza</t>
  </si>
  <si>
    <t>System owner, Last validated, Overview, Platform Type, Safety Requirements, Pre-op Checklist, Startup Procedure, Basic Operation, Shutdown Procedure, Troubleshooting, Maintenance Notes, Change Log.</t>
  </si>
  <si>
    <t>Rodyman</t>
  </si>
  <si>
    <t>Legion Usainbot1</t>
  </si>
  <si>
    <t>Legion Usainbot2</t>
  </si>
  <si>
    <t>Server</t>
  </si>
  <si>
    <t>Note</t>
  </si>
  <si>
    <t>Nuovo</t>
  </si>
  <si>
    <t>Prisma Walker</t>
  </si>
  <si>
    <t>Nuovo, da identificare</t>
  </si>
  <si>
    <t>Qbmate</t>
  </si>
  <si>
    <t>palla su palla</t>
  </si>
  <si>
    <t>Tools</t>
  </si>
  <si>
    <t>Djfly</t>
  </si>
  <si>
    <t xml:space="preserve">Optitrac Lab con PC </t>
  </si>
  <si>
    <t xml:space="preserve">Optitrac Sala AT con PC </t>
  </si>
  <si>
    <t xml:space="preserve">PTZ </t>
  </si>
  <si>
    <t>Stampanti 3d e sala FRESA BL1 BL2 Ultimaker s5</t>
  </si>
  <si>
    <t>Pelican</t>
  </si>
  <si>
    <t>Deprecated</t>
  </si>
  <si>
    <t>A2rl</t>
  </si>
  <si>
    <t>Vittorio</t>
  </si>
  <si>
    <t>not tested</t>
  </si>
  <si>
    <t>Riccardo e Federico</t>
  </si>
  <si>
    <t>Documentare Legion associato</t>
  </si>
  <si>
    <t xml:space="preserve">Michele </t>
  </si>
  <si>
    <t>franka 1 e 2</t>
  </si>
  <si>
    <t>braccio anymal</t>
  </si>
  <si>
    <t>armando 1 e 2</t>
  </si>
  <si>
    <t>Mario e Giulio</t>
  </si>
  <si>
    <t>haption 1 e 2</t>
  </si>
  <si>
    <t>Yigit</t>
  </si>
  <si>
    <t>Riccardo caccavale</t>
  </si>
  <si>
    <t>Rover di Fontanelli</t>
  </si>
  <si>
    <t>Biruota</t>
  </si>
  <si>
    <t>Simone e Francesca</t>
  </si>
  <si>
    <t>4x Crazy flies</t>
  </si>
  <si>
    <t>Not tested</t>
  </si>
  <si>
    <t>Fabio</t>
  </si>
  <si>
    <t xml:space="preserve">Riccardo </t>
  </si>
  <si>
    <t xml:space="preserve">Mario </t>
  </si>
  <si>
    <t>Cufino e Riccardo Caccavale</t>
  </si>
  <si>
    <t>Cufino e Francesca</t>
  </si>
  <si>
    <t>deprecated</t>
  </si>
  <si>
    <t>Siciliano</t>
  </si>
  <si>
    <t xml:space="preserve">Simone </t>
  </si>
  <si>
    <t>Simone e Melania</t>
  </si>
  <si>
    <t>Mario</t>
  </si>
  <si>
    <t>Alessandro</t>
  </si>
  <si>
    <t>Pasqualone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</si>
</sst>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F2937"/>
      <name val="Carlito"/>
    </font>
    <font>
      <sz val="11"/>
      <name val="Carlito"/>
    </font>
    <font>
      <sz val="11"/>
      <color theme="1"/>
      <name val="Carlito"/>
    </font>
    <font>
      <sz val="8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E8F1FA"/>
      </patternFill>
    </fill>
    <fill>
      <patternFill patternType="solid">
        <fgColor rgb="FFD9EAD3"/>
      </patternFill>
    </fill>
    <fill>
      <patternFill patternType="solid">
        <fgColor rgb="FFDDEEDC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E8E2F4"/>
      </patternFill>
    </fill>
    <fill>
      <patternFill patternType="solid">
        <fgColor rgb="FFFFF2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1" fillId="0" borderId="0" xfId="1" applyFont="1"/>
    <xf numFmtId="0" fontId="1" fillId="2" borderId="0" xfId="1" applyFont="1" applyFill="1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9" fontId="0" fillId="0" borderId="0" xfId="1" applyNumberFormat="1" applyFont="1" applyAlignment="1">
      <alignment horizontal="center" vertical="center" wrapText="1"/>
    </xf>
    <xf numFmtId="0" fontId="0" fillId="4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horizontal="center" vertical="center" wrapText="1"/>
    </xf>
    <xf numFmtId="0" fontId="0" fillId="8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0" fillId="7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6" borderId="0" xfId="1" applyFont="1" applyFill="1" applyAlignment="1">
      <alignment wrapText="1"/>
    </xf>
    <xf numFmtId="0" fontId="0" fillId="3" borderId="0" xfId="1" applyFont="1" applyFill="1" applyAlignment="1">
      <alignment wrapText="1"/>
    </xf>
    <xf numFmtId="0" fontId="3" fillId="9" borderId="1" xfId="1" applyFont="1" applyFill="1" applyBorder="1" applyAlignment="1">
      <alignment vertical="top" wrapText="1"/>
    </xf>
    <xf numFmtId="0" fontId="3" fillId="9" borderId="2" xfId="1" applyFont="1" applyFill="1" applyBorder="1" applyAlignment="1">
      <alignment vertical="top" wrapText="1"/>
    </xf>
    <xf numFmtId="0" fontId="0" fillId="10" borderId="0" xfId="1" applyFont="1" applyFill="1" applyAlignment="1">
      <alignment horizontal="center" vertical="center" wrapText="1"/>
    </xf>
    <xf numFmtId="0" fontId="0" fillId="11" borderId="0" xfId="1" applyFont="1" applyFill="1" applyAlignment="1">
      <alignment horizontal="center" vertical="center" wrapText="1"/>
    </xf>
    <xf numFmtId="0" fontId="3" fillId="10" borderId="2" xfId="1" applyNumberFormat="1" applyFont="1" applyFill="1" applyBorder="1" applyAlignment="1">
      <alignment horizontal="center" vertical="center" wrapText="1"/>
    </xf>
    <xf numFmtId="0" fontId="3" fillId="11" borderId="2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Normale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24">
  <tableColumns count="24">
    <tableColumn id="1" xr3:uid="{00000000-0010-0000-0000-000001000000}" name="Categoria"/>
    <tableColumn id="2" xr3:uid="{00000000-0010-0000-0000-000002000000}" name="Robot"/>
    <tableColumn id="48" xr3:uid="{D9214E0E-0891-46DF-AB14-627CCBF2FD3B}" name="Note" dataDxfId="0" dataCellStyle="Normal"/>
    <tableColumn id="6" xr3:uid="{00000000-0010-0000-0000-000006000000}" name="Immagine"/>
    <tableColumn id="7" xr3:uid="{00000000-0010-0000-0000-000007000000}" name="System owner"/>
    <tableColumn id="8" xr3:uid="{00000000-0010-0000-0000-000008000000}" name="Last validated"/>
    <tableColumn id="9" xr3:uid="{00000000-0010-0000-0000-000009000000}" name="Overview section"/>
    <tableColumn id="10" xr3:uid="{00000000-0010-0000-0000-00000A000000}" name="Platform type"/>
    <tableColumn id="11" xr3:uid="{00000000-0010-0000-0000-00000B000000}" name="Safety requirements"/>
    <tableColumn id="12" xr3:uid="{00000000-0010-0000-0000-00000C000000}" name="Pre-op checklist"/>
    <tableColumn id="13" xr3:uid="{00000000-0010-0000-0000-00000D000000}" name="Startup procedure"/>
    <tableColumn id="14" xr3:uid="{00000000-0010-0000-0000-00000E000000}" name="Basic operation"/>
    <tableColumn id="15" xr3:uid="{00000000-0010-0000-0000-00000F000000}" name="Shutdown procedure"/>
    <tableColumn id="16" xr3:uid="{00000000-0010-0000-0000-000010000000}" name="Troubleshooting"/>
    <tableColumn id="17" xr3:uid="{00000000-0010-0000-0000-000011000000}" name="Maintenance notes"/>
    <tableColumn id="18" xr3:uid="{00000000-0010-0000-0000-000012000000}" name="Change log"/>
    <tableColumn id="19" xr3:uid="{00000000-0010-0000-0000-000013000000}" name="Power / battery"/>
    <tableColumn id="20" xr3:uid="{00000000-0010-0000-0000-000014000000}" name="Charging / external power"/>
    <tableColumn id="21" xr3:uid="{00000000-0010-0000-0000-000015000000}" name="Controller / teleoperation"/>
    <tableColumn id="22" xr3:uid="{00000000-0010-0000-0000-000016000000}" name="Modes / app"/>
    <tableColumn id="23" xr3:uid="{00000000-0010-0000-0000-000017000000}" name="Software / network / SSH"/>
    <tableColumn id="24" xr3:uid="{00000000-0010-0000-0000-000018000000}" name="Hardware notes"/>
    <tableColumn id="25" xr3:uid="{00000000-0010-0000-0000-000019000000}" name="Completezza standard"/>
    <tableColumn id="27" xr3:uid="{00000000-0010-0000-0000-00001B000000}" name="Titolo docu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_1" ref="A3:B8">
  <tableColumns count="2">
    <tableColumn id="1" xr3:uid="{00000000-0010-0000-0100-000001000000}" name="Categoria"/>
    <tableColumn id="2" xr3:uid="{00000000-0010-0000-0100-000002000000}" name="N. rob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D3:H19">
  <tableColumns count="5">
    <tableColumn id="1" xr3:uid="{00000000-0010-0000-0200-000001000000}" name="Attributo"/>
    <tableColumn id="2" xr3:uid="{00000000-0010-0000-0200-000002000000}" name="Presente"/>
    <tableColumn id="3" xr3:uid="{00000000-0010-0000-0200-000003000000}" name="Parziale"/>
    <tableColumn id="4" xr3:uid="{00000000-0010-0000-0200-000004000000}" name="TBD"/>
    <tableColumn id="5" xr3:uid="{00000000-0010-0000-0200-000005000000}" name="Manc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zoomScaleNormal="100" workbookViewId="0">
      <selection activeCell="L1" sqref="L1"/>
    </sheetView>
  </sheetViews>
  <sheetFormatPr defaultRowHeight="13.5"/>
  <cols>
    <col min="1" max="2" width="14" customWidth="1"/>
    <col min="3" max="3" width="10.75" customWidth="1"/>
    <col min="4" max="4" width="12.9375" customWidth="1"/>
    <col min="5" max="5" width="12.1875" customWidth="1"/>
    <col min="6" max="6" width="12.125" customWidth="1"/>
    <col min="7" max="8" width="14" customWidth="1"/>
    <col min="9" max="24" width="16" customWidth="1"/>
    <col min="25" max="25" width="15" customWidth="1"/>
    <col min="26" max="26" width="48" customWidth="1"/>
    <col min="27" max="27" width="40" customWidth="1"/>
  </cols>
  <sheetData>
    <row r="1" spans="1:24" ht="35.35" customHeight="1">
      <c r="A1" s="3" t="s">
        <v>0</v>
      </c>
      <c r="B1" s="3" t="s">
        <v>1</v>
      </c>
      <c r="C1" s="3" t="s">
        <v>72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t="27.5" customHeight="1">
      <c r="A2" s="5" t="s">
        <v>23</v>
      </c>
      <c r="B2" s="5" t="s">
        <v>24</v>
      </c>
      <c r="C2" s="5"/>
      <c r="D2" s="7" t="s">
        <v>26</v>
      </c>
      <c r="E2" s="19" t="s">
        <v>101</v>
      </c>
      <c r="F2" s="8" t="s">
        <v>27</v>
      </c>
      <c r="G2" s="7" t="s">
        <v>26</v>
      </c>
      <c r="H2" s="8" t="s">
        <v>27</v>
      </c>
      <c r="I2" s="8" t="s">
        <v>27</v>
      </c>
      <c r="J2" s="8" t="s">
        <v>27</v>
      </c>
      <c r="K2" s="8" t="s">
        <v>27</v>
      </c>
      <c r="L2" s="8" t="s">
        <v>27</v>
      </c>
      <c r="M2" s="8" t="s">
        <v>27</v>
      </c>
      <c r="N2" s="8" t="s">
        <v>27</v>
      </c>
      <c r="O2" s="8" t="s">
        <v>27</v>
      </c>
      <c r="P2" s="8" t="s">
        <v>27</v>
      </c>
      <c r="Q2" s="8" t="s">
        <v>27</v>
      </c>
      <c r="R2" s="8" t="s">
        <v>27</v>
      </c>
      <c r="S2" s="8" t="s">
        <v>27</v>
      </c>
      <c r="T2" s="8" t="s">
        <v>27</v>
      </c>
      <c r="U2" s="8" t="s">
        <v>27</v>
      </c>
      <c r="V2" s="8" t="s">
        <v>27</v>
      </c>
      <c r="W2" s="6">
        <f t="shared" ref="W2:W24" si="0">MAX(0,(SUMPRODUCT(--(E2:P2&lt;&gt;""),--(E2:P2&lt;&gt;"Mancante"),--(E2:P2&lt;&gt;"TBD"))-0.5*COUNTIF(E2:P2,"Parziale"))/COLUMNS(E2:P2))</f>
        <v>0.16666666666666666</v>
      </c>
      <c r="X2" s="5" t="s">
        <v>28</v>
      </c>
    </row>
    <row r="3" spans="1:24" ht="27.5" customHeight="1">
      <c r="A3" s="5" t="s">
        <v>23</v>
      </c>
      <c r="B3" s="5" t="s">
        <v>29</v>
      </c>
      <c r="C3" s="5"/>
      <c r="D3" s="8" t="s">
        <v>27</v>
      </c>
      <c r="E3" s="19" t="s">
        <v>101</v>
      </c>
      <c r="F3" s="8" t="s">
        <v>27</v>
      </c>
      <c r="G3" s="7" t="s">
        <v>26</v>
      </c>
      <c r="H3" s="7" t="s">
        <v>26</v>
      </c>
      <c r="I3" s="7" t="s">
        <v>26</v>
      </c>
      <c r="J3" s="7" t="s">
        <v>26</v>
      </c>
      <c r="K3" s="7" t="s">
        <v>26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  <c r="T3" s="7" t="s">
        <v>26</v>
      </c>
      <c r="U3" s="7" t="s">
        <v>26</v>
      </c>
      <c r="V3" s="9" t="s">
        <v>32</v>
      </c>
      <c r="W3" s="6">
        <f t="shared" si="0"/>
        <v>0.91666666666666663</v>
      </c>
      <c r="X3" s="5" t="s">
        <v>33</v>
      </c>
    </row>
    <row r="4" spans="1:24" ht="27.5" customHeight="1">
      <c r="A4" s="5" t="s">
        <v>23</v>
      </c>
      <c r="B4" s="5" t="s">
        <v>34</v>
      </c>
      <c r="C4" s="5"/>
      <c r="D4" s="8" t="s">
        <v>27</v>
      </c>
      <c r="E4" s="19" t="s">
        <v>101</v>
      </c>
      <c r="F4" s="8" t="s">
        <v>27</v>
      </c>
      <c r="G4" s="7" t="s">
        <v>26</v>
      </c>
      <c r="H4" s="7" t="s">
        <v>26</v>
      </c>
      <c r="I4" s="7" t="s">
        <v>26</v>
      </c>
      <c r="J4" s="7" t="s">
        <v>26</v>
      </c>
      <c r="K4" s="7" t="s">
        <v>26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  <c r="T4" s="7" t="s">
        <v>26</v>
      </c>
      <c r="U4" s="7" t="s">
        <v>26</v>
      </c>
      <c r="V4" s="9" t="s">
        <v>32</v>
      </c>
      <c r="W4" s="6">
        <f t="shared" si="0"/>
        <v>0.91666666666666663</v>
      </c>
      <c r="X4" s="5" t="s">
        <v>35</v>
      </c>
    </row>
    <row r="5" spans="1:24" ht="33.75" customHeight="1">
      <c r="A5" s="5" t="s">
        <v>23</v>
      </c>
      <c r="B5" s="5" t="s">
        <v>102</v>
      </c>
      <c r="C5" s="5" t="s">
        <v>103</v>
      </c>
      <c r="D5" s="8" t="s">
        <v>27</v>
      </c>
      <c r="E5" s="19" t="s">
        <v>101</v>
      </c>
      <c r="F5" s="8" t="s">
        <v>27</v>
      </c>
      <c r="G5" s="8" t="s">
        <v>27</v>
      </c>
      <c r="H5" s="8" t="s">
        <v>27</v>
      </c>
      <c r="I5" s="8" t="s">
        <v>27</v>
      </c>
      <c r="J5" s="8" t="s">
        <v>27</v>
      </c>
      <c r="K5" s="8" t="s">
        <v>27</v>
      </c>
      <c r="L5" s="8" t="s">
        <v>27</v>
      </c>
      <c r="M5" s="8" t="s">
        <v>27</v>
      </c>
      <c r="N5" s="8" t="s">
        <v>27</v>
      </c>
      <c r="O5" s="8" t="s">
        <v>27</v>
      </c>
      <c r="P5" s="8" t="s">
        <v>27</v>
      </c>
      <c r="Q5" s="8" t="s">
        <v>27</v>
      </c>
      <c r="R5" s="8" t="s">
        <v>27</v>
      </c>
      <c r="S5" s="8" t="s">
        <v>27</v>
      </c>
      <c r="T5" s="8" t="s">
        <v>27</v>
      </c>
      <c r="U5" s="8" t="s">
        <v>27</v>
      </c>
      <c r="V5" s="8" t="s">
        <v>27</v>
      </c>
      <c r="W5" s="6">
        <v>0</v>
      </c>
      <c r="X5" s="8" t="s">
        <v>27</v>
      </c>
    </row>
    <row r="6" spans="1:24" ht="33.75" customHeight="1">
      <c r="A6" s="5" t="s">
        <v>23</v>
      </c>
      <c r="B6" s="5" t="s">
        <v>84</v>
      </c>
      <c r="C6" s="5" t="s">
        <v>85</v>
      </c>
      <c r="D6" s="8" t="s">
        <v>27</v>
      </c>
      <c r="E6" s="18" t="s">
        <v>104</v>
      </c>
      <c r="F6" s="8" t="s">
        <v>27</v>
      </c>
      <c r="G6" s="8" t="s">
        <v>27</v>
      </c>
      <c r="H6" s="8" t="s">
        <v>27</v>
      </c>
      <c r="I6" s="8" t="s">
        <v>27</v>
      </c>
      <c r="J6" s="8" t="s">
        <v>27</v>
      </c>
      <c r="K6" s="8" t="s">
        <v>27</v>
      </c>
      <c r="L6" s="8" t="s">
        <v>27</v>
      </c>
      <c r="M6" s="8" t="s">
        <v>27</v>
      </c>
      <c r="N6" s="8" t="s">
        <v>27</v>
      </c>
      <c r="O6" s="8" t="s">
        <v>27</v>
      </c>
      <c r="P6" s="8" t="s">
        <v>27</v>
      </c>
      <c r="Q6" s="8" t="s">
        <v>27</v>
      </c>
      <c r="R6" s="8" t="s">
        <v>27</v>
      </c>
      <c r="S6" s="8" t="s">
        <v>27</v>
      </c>
      <c r="T6" s="8" t="s">
        <v>27</v>
      </c>
      <c r="U6" s="8" t="s">
        <v>27</v>
      </c>
      <c r="V6" s="8" t="s">
        <v>27</v>
      </c>
      <c r="W6" s="6">
        <v>0</v>
      </c>
      <c r="X6" s="8" t="s">
        <v>27</v>
      </c>
    </row>
    <row r="7" spans="1:24" ht="33.75" customHeight="1">
      <c r="A7" s="5" t="s">
        <v>23</v>
      </c>
      <c r="B7" s="5" t="s">
        <v>86</v>
      </c>
      <c r="C7" s="5" t="s">
        <v>75</v>
      </c>
      <c r="D7" s="8" t="s">
        <v>27</v>
      </c>
      <c r="E7" s="18" t="s">
        <v>87</v>
      </c>
      <c r="F7" s="8" t="s">
        <v>27</v>
      </c>
      <c r="G7" s="8" t="s">
        <v>27</v>
      </c>
      <c r="H7" s="8" t="s">
        <v>27</v>
      </c>
      <c r="I7" s="8" t="s">
        <v>27</v>
      </c>
      <c r="J7" s="8" t="s">
        <v>27</v>
      </c>
      <c r="K7" s="8" t="s">
        <v>27</v>
      </c>
      <c r="L7" s="8" t="s">
        <v>27</v>
      </c>
      <c r="M7" s="8" t="s">
        <v>27</v>
      </c>
      <c r="N7" s="8" t="s">
        <v>27</v>
      </c>
      <c r="O7" s="8" t="s">
        <v>27</v>
      </c>
      <c r="P7" s="8" t="s">
        <v>27</v>
      </c>
      <c r="Q7" s="8" t="s">
        <v>27</v>
      </c>
      <c r="R7" s="8" t="s">
        <v>27</v>
      </c>
      <c r="S7" s="8" t="s">
        <v>27</v>
      </c>
      <c r="T7" s="8" t="s">
        <v>27</v>
      </c>
      <c r="U7" s="8" t="s">
        <v>27</v>
      </c>
      <c r="V7" s="8" t="s">
        <v>27</v>
      </c>
      <c r="W7" s="6">
        <v>0</v>
      </c>
      <c r="X7" s="8" t="s">
        <v>27</v>
      </c>
    </row>
    <row r="8" spans="1:24" ht="28.5" customHeight="1">
      <c r="A8" s="5" t="s">
        <v>36</v>
      </c>
      <c r="B8" s="5" t="s">
        <v>76</v>
      </c>
      <c r="C8" s="5" t="s">
        <v>88</v>
      </c>
      <c r="D8" s="8" t="s">
        <v>27</v>
      </c>
      <c r="E8" s="18" t="s">
        <v>106</v>
      </c>
      <c r="F8" s="8" t="s">
        <v>27</v>
      </c>
      <c r="G8" s="8" t="s">
        <v>27</v>
      </c>
      <c r="H8" s="8" t="s">
        <v>27</v>
      </c>
      <c r="I8" s="8" t="s">
        <v>27</v>
      </c>
      <c r="J8" s="8" t="s">
        <v>27</v>
      </c>
      <c r="K8" s="8" t="s">
        <v>27</v>
      </c>
      <c r="L8" s="8" t="s">
        <v>27</v>
      </c>
      <c r="M8" s="8" t="s">
        <v>27</v>
      </c>
      <c r="N8" s="8" t="s">
        <v>27</v>
      </c>
      <c r="O8" s="8" t="s">
        <v>27</v>
      </c>
      <c r="P8" s="8" t="s">
        <v>27</v>
      </c>
      <c r="Q8" s="8" t="s">
        <v>27</v>
      </c>
      <c r="R8" s="8" t="s">
        <v>27</v>
      </c>
      <c r="S8" s="8" t="s">
        <v>27</v>
      </c>
      <c r="T8" s="8" t="s">
        <v>27</v>
      </c>
      <c r="U8" s="8" t="s">
        <v>27</v>
      </c>
      <c r="V8" s="8" t="s">
        <v>27</v>
      </c>
      <c r="W8" s="6">
        <v>0</v>
      </c>
      <c r="X8" s="8" t="s">
        <v>27</v>
      </c>
    </row>
    <row r="9" spans="1:24" ht="23.75" customHeight="1">
      <c r="A9" s="5" t="s">
        <v>36</v>
      </c>
      <c r="B9" s="5" t="s">
        <v>74</v>
      </c>
      <c r="C9" s="5"/>
      <c r="D9" s="8" t="s">
        <v>27</v>
      </c>
      <c r="E9" s="19" t="s">
        <v>105</v>
      </c>
      <c r="F9" s="8" t="s">
        <v>27</v>
      </c>
      <c r="G9" s="8" t="s">
        <v>27</v>
      </c>
      <c r="H9" s="8" t="s">
        <v>27</v>
      </c>
      <c r="I9" s="8" t="s">
        <v>27</v>
      </c>
      <c r="J9" s="8" t="s">
        <v>27</v>
      </c>
      <c r="K9" s="8" t="s">
        <v>27</v>
      </c>
      <c r="L9" s="8" t="s">
        <v>27</v>
      </c>
      <c r="M9" s="8" t="s">
        <v>27</v>
      </c>
      <c r="N9" s="8" t="s">
        <v>27</v>
      </c>
      <c r="O9" s="8" t="s">
        <v>27</v>
      </c>
      <c r="P9" s="8" t="s">
        <v>27</v>
      </c>
      <c r="Q9" s="8" t="s">
        <v>27</v>
      </c>
      <c r="R9" s="8" t="s">
        <v>27</v>
      </c>
      <c r="S9" s="8" t="s">
        <v>27</v>
      </c>
      <c r="T9" s="8" t="s">
        <v>27</v>
      </c>
      <c r="U9" s="8" t="s">
        <v>27</v>
      </c>
      <c r="V9" s="8" t="s">
        <v>27</v>
      </c>
      <c r="W9" s="6">
        <v>0</v>
      </c>
      <c r="X9" s="8" t="s">
        <v>27</v>
      </c>
    </row>
    <row r="10" spans="1:24" ht="40.15" customHeight="1">
      <c r="A10" s="5" t="s">
        <v>36</v>
      </c>
      <c r="B10" s="5" t="s">
        <v>37</v>
      </c>
      <c r="C10" s="5" t="s">
        <v>90</v>
      </c>
      <c r="D10" s="7" t="s">
        <v>26</v>
      </c>
      <c r="E10" s="19" t="s">
        <v>89</v>
      </c>
      <c r="F10" s="8" t="s">
        <v>27</v>
      </c>
      <c r="G10" s="8" t="s">
        <v>27</v>
      </c>
      <c r="H10" s="8" t="s">
        <v>27</v>
      </c>
      <c r="I10" s="9" t="s">
        <v>32</v>
      </c>
      <c r="J10" s="8" t="s">
        <v>27</v>
      </c>
      <c r="K10" s="7" t="s">
        <v>26</v>
      </c>
      <c r="L10" s="7" t="s">
        <v>26</v>
      </c>
      <c r="M10" s="8" t="s">
        <v>27</v>
      </c>
      <c r="N10" s="8" t="s">
        <v>27</v>
      </c>
      <c r="O10" s="8" t="s">
        <v>27</v>
      </c>
      <c r="P10" s="8" t="s">
        <v>27</v>
      </c>
      <c r="Q10" s="7" t="s">
        <v>26</v>
      </c>
      <c r="R10" s="7" t="s">
        <v>26</v>
      </c>
      <c r="S10" s="7" t="s">
        <v>26</v>
      </c>
      <c r="T10" s="7" t="s">
        <v>26</v>
      </c>
      <c r="U10" s="7" t="s">
        <v>26</v>
      </c>
      <c r="V10" s="8" t="s">
        <v>27</v>
      </c>
      <c r="W10" s="6">
        <f t="shared" si="0"/>
        <v>0.29166666666666669</v>
      </c>
      <c r="X10" s="5" t="s">
        <v>38</v>
      </c>
    </row>
    <row r="11" spans="1:24" ht="27.5" customHeight="1">
      <c r="A11" s="5" t="s">
        <v>36</v>
      </c>
      <c r="B11" s="5" t="s">
        <v>39</v>
      </c>
      <c r="C11" s="5"/>
      <c r="D11" s="7" t="s">
        <v>26</v>
      </c>
      <c r="E11" s="19" t="s">
        <v>91</v>
      </c>
      <c r="F11" s="8" t="s">
        <v>27</v>
      </c>
      <c r="G11" s="8" t="s">
        <v>27</v>
      </c>
      <c r="H11" s="8" t="s">
        <v>27</v>
      </c>
      <c r="I11" s="9" t="s">
        <v>32</v>
      </c>
      <c r="J11" s="8" t="s">
        <v>27</v>
      </c>
      <c r="K11" s="7" t="s">
        <v>26</v>
      </c>
      <c r="L11" s="7" t="s">
        <v>26</v>
      </c>
      <c r="M11" s="7" t="s">
        <v>26</v>
      </c>
      <c r="N11" s="8" t="s">
        <v>27</v>
      </c>
      <c r="O11" s="8" t="s">
        <v>27</v>
      </c>
      <c r="P11" s="8" t="s">
        <v>27</v>
      </c>
      <c r="Q11" s="7" t="s">
        <v>26</v>
      </c>
      <c r="R11" s="7" t="s">
        <v>26</v>
      </c>
      <c r="S11" s="7" t="s">
        <v>26</v>
      </c>
      <c r="T11" s="7" t="s">
        <v>26</v>
      </c>
      <c r="U11" s="8" t="s">
        <v>27</v>
      </c>
      <c r="V11" s="8" t="s">
        <v>27</v>
      </c>
      <c r="W11" s="6">
        <f t="shared" si="0"/>
        <v>0.375</v>
      </c>
      <c r="X11" s="5" t="s">
        <v>40</v>
      </c>
    </row>
    <row r="12" spans="1:24" ht="27.5" customHeight="1">
      <c r="A12" s="5" t="s">
        <v>41</v>
      </c>
      <c r="B12" s="5" t="s">
        <v>94</v>
      </c>
      <c r="C12" s="5"/>
      <c r="D12" s="8" t="s">
        <v>27</v>
      </c>
      <c r="E12" s="18" t="s">
        <v>95</v>
      </c>
      <c r="F12" s="8" t="s">
        <v>27</v>
      </c>
      <c r="G12" s="7" t="s">
        <v>26</v>
      </c>
      <c r="H12" s="7" t="s">
        <v>26</v>
      </c>
      <c r="I12" s="7" t="s">
        <v>26</v>
      </c>
      <c r="J12" s="7" t="s">
        <v>26</v>
      </c>
      <c r="K12" s="7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8" t="s">
        <v>27</v>
      </c>
      <c r="S12" s="7" t="s">
        <v>26</v>
      </c>
      <c r="T12" s="8" t="s">
        <v>27</v>
      </c>
      <c r="U12" s="7" t="s">
        <v>26</v>
      </c>
      <c r="V12" s="9" t="s">
        <v>32</v>
      </c>
      <c r="W12" s="6">
        <f t="shared" si="0"/>
        <v>0.91666666666666663</v>
      </c>
      <c r="X12" s="5" t="s">
        <v>42</v>
      </c>
    </row>
    <row r="13" spans="1:24" ht="43.15" customHeight="1">
      <c r="A13" s="5" t="s">
        <v>41</v>
      </c>
      <c r="B13" s="5" t="s">
        <v>92</v>
      </c>
      <c r="C13" s="5"/>
      <c r="D13" s="8" t="s">
        <v>27</v>
      </c>
      <c r="E13" s="18" t="s">
        <v>107</v>
      </c>
      <c r="F13" s="8" t="s">
        <v>27</v>
      </c>
      <c r="G13" s="7" t="s">
        <v>26</v>
      </c>
      <c r="H13" s="7" t="s">
        <v>26</v>
      </c>
      <c r="I13" s="7" t="s">
        <v>26</v>
      </c>
      <c r="J13" s="7" t="s">
        <v>26</v>
      </c>
      <c r="K13" s="7" t="s">
        <v>26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8" t="s">
        <v>27</v>
      </c>
      <c r="S13" s="7" t="s">
        <v>26</v>
      </c>
      <c r="T13" s="8" t="s">
        <v>27</v>
      </c>
      <c r="U13" s="7" t="s">
        <v>26</v>
      </c>
      <c r="V13" s="9" t="s">
        <v>32</v>
      </c>
      <c r="W13" s="6">
        <f t="shared" si="0"/>
        <v>0.91666666666666663</v>
      </c>
      <c r="X13" s="5" t="s">
        <v>43</v>
      </c>
    </row>
    <row r="14" spans="1:24" ht="33" customHeight="1">
      <c r="A14" s="5" t="s">
        <v>41</v>
      </c>
      <c r="B14" s="5" t="s">
        <v>44</v>
      </c>
      <c r="C14" s="5"/>
      <c r="D14" s="8" t="s">
        <v>27</v>
      </c>
      <c r="E14" s="18" t="s">
        <v>108</v>
      </c>
      <c r="F14" s="8" t="s">
        <v>27</v>
      </c>
      <c r="G14" s="7" t="s">
        <v>26</v>
      </c>
      <c r="H14" s="7" t="s">
        <v>26</v>
      </c>
      <c r="I14" s="7" t="s">
        <v>26</v>
      </c>
      <c r="J14" s="7" t="s">
        <v>26</v>
      </c>
      <c r="K14" s="7" t="s">
        <v>26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8" t="s">
        <v>27</v>
      </c>
      <c r="S14" s="7" t="s">
        <v>26</v>
      </c>
      <c r="T14" s="8" t="s">
        <v>27</v>
      </c>
      <c r="U14" s="7" t="s">
        <v>26</v>
      </c>
      <c r="V14" s="9" t="s">
        <v>32</v>
      </c>
      <c r="W14" s="6">
        <f t="shared" si="0"/>
        <v>0.91666666666666663</v>
      </c>
      <c r="X14" s="5" t="s">
        <v>45</v>
      </c>
    </row>
    <row r="15" spans="1:24" ht="23.65" customHeight="1">
      <c r="A15" s="5" t="s">
        <v>41</v>
      </c>
      <c r="B15" s="5" t="s">
        <v>93</v>
      </c>
      <c r="C15" s="5" t="s">
        <v>73</v>
      </c>
      <c r="D15" s="8" t="s">
        <v>27</v>
      </c>
      <c r="E15" s="19" t="s">
        <v>105</v>
      </c>
      <c r="F15" s="8" t="s">
        <v>27</v>
      </c>
      <c r="G15" s="8" t="s">
        <v>27</v>
      </c>
      <c r="H15" s="8" t="s">
        <v>27</v>
      </c>
      <c r="I15" s="8" t="s">
        <v>27</v>
      </c>
      <c r="J15" s="8" t="s">
        <v>27</v>
      </c>
      <c r="K15" s="8" t="s">
        <v>27</v>
      </c>
      <c r="L15" s="8" t="s">
        <v>27</v>
      </c>
      <c r="M15" s="8" t="s">
        <v>27</v>
      </c>
      <c r="N15" s="8" t="s">
        <v>27</v>
      </c>
      <c r="O15" s="8" t="s">
        <v>27</v>
      </c>
      <c r="P15" s="8" t="s">
        <v>27</v>
      </c>
      <c r="Q15" s="8" t="s">
        <v>27</v>
      </c>
      <c r="R15" s="8" t="s">
        <v>27</v>
      </c>
      <c r="S15" s="8" t="s">
        <v>27</v>
      </c>
      <c r="T15" s="8" t="s">
        <v>27</v>
      </c>
      <c r="U15" s="8" t="s">
        <v>27</v>
      </c>
      <c r="V15" s="8" t="s">
        <v>27</v>
      </c>
      <c r="W15" s="6">
        <v>0</v>
      </c>
      <c r="X15" s="8" t="s">
        <v>27</v>
      </c>
    </row>
    <row r="16" spans="1:24" ht="27.5" customHeight="1">
      <c r="A16" s="5" t="s">
        <v>41</v>
      </c>
      <c r="B16" s="5" t="s">
        <v>68</v>
      </c>
      <c r="C16" s="5" t="s">
        <v>109</v>
      </c>
      <c r="D16" s="8" t="s">
        <v>27</v>
      </c>
      <c r="E16" s="18" t="s">
        <v>110</v>
      </c>
      <c r="F16" s="8" t="s">
        <v>27</v>
      </c>
      <c r="G16" s="8" t="s">
        <v>27</v>
      </c>
      <c r="H16" s="8" t="s">
        <v>27</v>
      </c>
      <c r="I16" s="8" t="s">
        <v>27</v>
      </c>
      <c r="J16" s="8" t="s">
        <v>27</v>
      </c>
      <c r="K16" s="8" t="s">
        <v>27</v>
      </c>
      <c r="L16" s="8" t="s">
        <v>27</v>
      </c>
      <c r="M16" s="8" t="s">
        <v>27</v>
      </c>
      <c r="N16" s="8" t="s">
        <v>27</v>
      </c>
      <c r="O16" s="8" t="s">
        <v>27</v>
      </c>
      <c r="P16" s="8" t="s">
        <v>27</v>
      </c>
      <c r="Q16" s="8" t="s">
        <v>27</v>
      </c>
      <c r="R16" s="8" t="s">
        <v>27</v>
      </c>
      <c r="S16" s="8" t="s">
        <v>27</v>
      </c>
      <c r="T16" s="8" t="s">
        <v>27</v>
      </c>
      <c r="U16" s="8" t="s">
        <v>27</v>
      </c>
      <c r="V16" s="8" t="s">
        <v>27</v>
      </c>
      <c r="W16" s="6">
        <v>0</v>
      </c>
      <c r="X16" s="8" t="s">
        <v>27</v>
      </c>
    </row>
    <row r="17" spans="1:24" ht="27.5" customHeight="1">
      <c r="A17" s="5" t="s">
        <v>46</v>
      </c>
      <c r="B17" s="5" t="s">
        <v>47</v>
      </c>
      <c r="C17" s="5"/>
      <c r="D17" s="8" t="s">
        <v>27</v>
      </c>
      <c r="E17" s="19" t="s">
        <v>111</v>
      </c>
      <c r="F17" s="8" t="s">
        <v>27</v>
      </c>
      <c r="G17" s="7" t="s">
        <v>26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8" t="s">
        <v>27</v>
      </c>
      <c r="S17" s="9" t="s">
        <v>32</v>
      </c>
      <c r="T17" s="7" t="s">
        <v>26</v>
      </c>
      <c r="U17" s="7" t="s">
        <v>26</v>
      </c>
      <c r="V17" s="9" t="s">
        <v>32</v>
      </c>
      <c r="W17" s="6">
        <f t="shared" si="0"/>
        <v>0.91666666666666663</v>
      </c>
      <c r="X17" s="5" t="s">
        <v>48</v>
      </c>
    </row>
    <row r="18" spans="1:24" ht="33.75" customHeight="1">
      <c r="A18" s="5" t="s">
        <v>46</v>
      </c>
      <c r="B18" s="5" t="s">
        <v>96</v>
      </c>
      <c r="C18" s="5"/>
      <c r="D18" s="8" t="s">
        <v>27</v>
      </c>
      <c r="E18" s="18" t="s">
        <v>112</v>
      </c>
      <c r="F18" s="8" t="s">
        <v>27</v>
      </c>
      <c r="G18" s="7" t="s">
        <v>26</v>
      </c>
      <c r="H18" s="7" t="s">
        <v>26</v>
      </c>
      <c r="I18" s="7" t="s">
        <v>26</v>
      </c>
      <c r="J18" s="7" t="s">
        <v>26</v>
      </c>
      <c r="K18" s="7" t="s">
        <v>26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8" t="s">
        <v>27</v>
      </c>
      <c r="S18" s="9" t="s">
        <v>32</v>
      </c>
      <c r="T18" s="7" t="s">
        <v>26</v>
      </c>
      <c r="U18" s="7" t="s">
        <v>26</v>
      </c>
      <c r="V18" s="9" t="s">
        <v>32</v>
      </c>
      <c r="W18" s="6">
        <f t="shared" si="0"/>
        <v>0.91666666666666663</v>
      </c>
      <c r="X18" s="5" t="s">
        <v>49</v>
      </c>
    </row>
    <row r="19" spans="1:24" ht="27">
      <c r="A19" s="5" t="s">
        <v>46</v>
      </c>
      <c r="B19" s="5" t="s">
        <v>69</v>
      </c>
      <c r="C19" s="5" t="s">
        <v>73</v>
      </c>
      <c r="D19" s="8" t="s">
        <v>27</v>
      </c>
      <c r="E19" s="19" t="s">
        <v>105</v>
      </c>
      <c r="F19" s="8" t="s">
        <v>27</v>
      </c>
      <c r="G19" s="8" t="s">
        <v>27</v>
      </c>
      <c r="H19" s="8" t="s">
        <v>27</v>
      </c>
      <c r="I19" s="8" t="s">
        <v>27</v>
      </c>
      <c r="J19" s="8" t="s">
        <v>27</v>
      </c>
      <c r="K19" s="8" t="s">
        <v>27</v>
      </c>
      <c r="L19" s="8" t="s">
        <v>27</v>
      </c>
      <c r="M19" s="8" t="s">
        <v>27</v>
      </c>
      <c r="N19" s="8" t="s">
        <v>27</v>
      </c>
      <c r="O19" s="8" t="s">
        <v>27</v>
      </c>
      <c r="P19" s="8" t="s">
        <v>27</v>
      </c>
      <c r="Q19" s="8" t="s">
        <v>27</v>
      </c>
      <c r="R19" s="8" t="s">
        <v>27</v>
      </c>
      <c r="S19" s="8" t="s">
        <v>27</v>
      </c>
      <c r="T19" s="8" t="s">
        <v>27</v>
      </c>
      <c r="U19" s="8" t="s">
        <v>27</v>
      </c>
      <c r="V19" s="8" t="s">
        <v>27</v>
      </c>
      <c r="W19" s="6">
        <v>0</v>
      </c>
      <c r="X19" s="8" t="s">
        <v>27</v>
      </c>
    </row>
    <row r="20" spans="1:24" ht="26.25" customHeight="1">
      <c r="A20" s="5" t="s">
        <v>46</v>
      </c>
      <c r="B20" s="5" t="s">
        <v>70</v>
      </c>
      <c r="C20" s="5" t="s">
        <v>73</v>
      </c>
      <c r="D20" s="8" t="s">
        <v>27</v>
      </c>
      <c r="E20" s="19" t="s">
        <v>105</v>
      </c>
      <c r="F20" s="8" t="s">
        <v>27</v>
      </c>
      <c r="G20" s="8" t="s">
        <v>27</v>
      </c>
      <c r="H20" s="8" t="s">
        <v>27</v>
      </c>
      <c r="I20" s="8" t="s">
        <v>27</v>
      </c>
      <c r="J20" s="8" t="s">
        <v>27</v>
      </c>
      <c r="K20" s="8" t="s">
        <v>27</v>
      </c>
      <c r="L20" s="8" t="s">
        <v>27</v>
      </c>
      <c r="M20" s="8" t="s">
        <v>27</v>
      </c>
      <c r="N20" s="8" t="s">
        <v>27</v>
      </c>
      <c r="O20" s="8" t="s">
        <v>27</v>
      </c>
      <c r="P20" s="8" t="s">
        <v>27</v>
      </c>
      <c r="Q20" s="8" t="s">
        <v>27</v>
      </c>
      <c r="R20" s="8" t="s">
        <v>27</v>
      </c>
      <c r="S20" s="8" t="s">
        <v>27</v>
      </c>
      <c r="T20" s="8" t="s">
        <v>27</v>
      </c>
      <c r="U20" s="8" t="s">
        <v>27</v>
      </c>
      <c r="V20" s="8" t="s">
        <v>27</v>
      </c>
      <c r="W20" s="6">
        <v>0</v>
      </c>
      <c r="X20" s="8" t="s">
        <v>27</v>
      </c>
    </row>
    <row r="21" spans="1:24" ht="18" customHeight="1">
      <c r="A21" s="5" t="s">
        <v>46</v>
      </c>
      <c r="B21" s="5" t="s">
        <v>71</v>
      </c>
      <c r="C21" s="5" t="s">
        <v>73</v>
      </c>
      <c r="D21" s="8" t="s">
        <v>27</v>
      </c>
      <c r="E21" s="19" t="s">
        <v>97</v>
      </c>
      <c r="F21" s="8" t="s">
        <v>27</v>
      </c>
      <c r="G21" s="8" t="s">
        <v>27</v>
      </c>
      <c r="H21" s="8" t="s">
        <v>27</v>
      </c>
      <c r="I21" s="8" t="s">
        <v>27</v>
      </c>
      <c r="J21" s="8" t="s">
        <v>27</v>
      </c>
      <c r="K21" s="8" t="s">
        <v>27</v>
      </c>
      <c r="L21" s="8" t="s">
        <v>27</v>
      </c>
      <c r="M21" s="8" t="s">
        <v>27</v>
      </c>
      <c r="N21" s="8" t="s">
        <v>27</v>
      </c>
      <c r="O21" s="8" t="s">
        <v>27</v>
      </c>
      <c r="P21" s="8" t="s">
        <v>27</v>
      </c>
      <c r="Q21" s="8" t="s">
        <v>27</v>
      </c>
      <c r="R21" s="8" t="s">
        <v>27</v>
      </c>
      <c r="S21" s="8" t="s">
        <v>27</v>
      </c>
      <c r="T21" s="8" t="s">
        <v>27</v>
      </c>
      <c r="U21" s="8" t="s">
        <v>27</v>
      </c>
      <c r="V21" s="8" t="s">
        <v>27</v>
      </c>
      <c r="W21" s="6">
        <v>0</v>
      </c>
      <c r="X21" s="8" t="s">
        <v>27</v>
      </c>
    </row>
    <row r="22" spans="1:24" ht="26.25" customHeight="1">
      <c r="A22" s="5" t="s">
        <v>46</v>
      </c>
      <c r="B22" s="5" t="s">
        <v>77</v>
      </c>
      <c r="C22" s="5" t="s">
        <v>85</v>
      </c>
      <c r="D22" s="8" t="s">
        <v>27</v>
      </c>
      <c r="E22" s="18" t="s">
        <v>104</v>
      </c>
      <c r="F22" s="8" t="s">
        <v>27</v>
      </c>
      <c r="G22" s="8" t="s">
        <v>27</v>
      </c>
      <c r="H22" s="8" t="s">
        <v>27</v>
      </c>
      <c r="I22" s="8" t="s">
        <v>27</v>
      </c>
      <c r="J22" s="8" t="s">
        <v>27</v>
      </c>
      <c r="K22" s="8" t="s">
        <v>27</v>
      </c>
      <c r="L22" s="8" t="s">
        <v>27</v>
      </c>
      <c r="M22" s="8" t="s">
        <v>27</v>
      </c>
      <c r="N22" s="8" t="s">
        <v>27</v>
      </c>
      <c r="O22" s="8" t="s">
        <v>27</v>
      </c>
      <c r="P22" s="8" t="s">
        <v>27</v>
      </c>
      <c r="Q22" s="8" t="s">
        <v>27</v>
      </c>
      <c r="R22" s="8" t="s">
        <v>27</v>
      </c>
      <c r="S22" s="8" t="s">
        <v>27</v>
      </c>
      <c r="T22" s="8" t="s">
        <v>27</v>
      </c>
      <c r="U22" s="8" t="s">
        <v>27</v>
      </c>
      <c r="V22" s="8" t="s">
        <v>27</v>
      </c>
      <c r="W22" s="6">
        <v>0</v>
      </c>
      <c r="X22" s="8" t="s">
        <v>27</v>
      </c>
    </row>
    <row r="23" spans="1:24" ht="26.65" customHeight="1">
      <c r="A23" s="5" t="s">
        <v>50</v>
      </c>
      <c r="B23" s="5" t="s">
        <v>51</v>
      </c>
      <c r="C23" s="5"/>
      <c r="D23" s="8" t="s">
        <v>27</v>
      </c>
      <c r="E23" s="18" t="s">
        <v>95</v>
      </c>
      <c r="F23" s="8" t="s">
        <v>27</v>
      </c>
      <c r="G23" s="7" t="s">
        <v>26</v>
      </c>
      <c r="H23" s="7" t="s">
        <v>26</v>
      </c>
      <c r="I23" s="7" t="s">
        <v>26</v>
      </c>
      <c r="J23" s="7" t="s">
        <v>26</v>
      </c>
      <c r="K23" s="7" t="s">
        <v>26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9" t="s">
        <v>32</v>
      </c>
      <c r="S23" s="7" t="s">
        <v>26</v>
      </c>
      <c r="T23" s="7" t="s">
        <v>26</v>
      </c>
      <c r="U23" s="7" t="s">
        <v>26</v>
      </c>
      <c r="V23" s="8" t="s">
        <v>27</v>
      </c>
      <c r="W23" s="6">
        <f t="shared" si="0"/>
        <v>0.91666666666666663</v>
      </c>
      <c r="X23" s="5" t="s">
        <v>52</v>
      </c>
    </row>
    <row r="24" spans="1:24" ht="30.75" customHeight="1">
      <c r="A24" s="5" t="s">
        <v>50</v>
      </c>
      <c r="B24" s="5" t="s">
        <v>53</v>
      </c>
      <c r="C24" s="5"/>
      <c r="D24" s="7" t="s">
        <v>26</v>
      </c>
      <c r="E24" s="18" t="s">
        <v>98</v>
      </c>
      <c r="F24" s="8" t="s">
        <v>27</v>
      </c>
      <c r="G24" s="8" t="s">
        <v>27</v>
      </c>
      <c r="H24" s="8" t="s">
        <v>27</v>
      </c>
      <c r="I24" s="8" t="s">
        <v>27</v>
      </c>
      <c r="J24" s="8" t="s">
        <v>27</v>
      </c>
      <c r="K24" s="7" t="s">
        <v>26</v>
      </c>
      <c r="L24" s="7" t="s">
        <v>26</v>
      </c>
      <c r="M24" s="8" t="s">
        <v>27</v>
      </c>
      <c r="N24" s="8" t="s">
        <v>27</v>
      </c>
      <c r="O24" s="9" t="s">
        <v>32</v>
      </c>
      <c r="P24" s="8" t="s">
        <v>27</v>
      </c>
      <c r="Q24" s="7" t="s">
        <v>26</v>
      </c>
      <c r="R24" s="7" t="s">
        <v>26</v>
      </c>
      <c r="S24" s="7" t="s">
        <v>26</v>
      </c>
      <c r="T24" s="8" t="s">
        <v>27</v>
      </c>
      <c r="U24" s="7" t="s">
        <v>26</v>
      </c>
      <c r="V24" s="7" t="s">
        <v>26</v>
      </c>
      <c r="W24" s="6">
        <f t="shared" si="0"/>
        <v>0.29166666666666669</v>
      </c>
      <c r="X24" s="5" t="s">
        <v>54</v>
      </c>
    </row>
    <row r="25" spans="1:24" ht="30.4" customHeight="1">
      <c r="A25" s="16" t="s">
        <v>50</v>
      </c>
      <c r="B25" s="17" t="s">
        <v>99</v>
      </c>
      <c r="C25" s="17" t="s">
        <v>88</v>
      </c>
      <c r="D25" s="8" t="s">
        <v>27</v>
      </c>
      <c r="E25" s="20" t="s">
        <v>113</v>
      </c>
      <c r="F25" s="8" t="s">
        <v>27</v>
      </c>
      <c r="G25" s="8" t="s">
        <v>27</v>
      </c>
      <c r="H25" s="8" t="s">
        <v>27</v>
      </c>
      <c r="I25" s="8" t="s">
        <v>27</v>
      </c>
      <c r="J25" s="8" t="s">
        <v>27</v>
      </c>
      <c r="K25" s="8" t="s">
        <v>27</v>
      </c>
      <c r="L25" s="8" t="s">
        <v>27</v>
      </c>
      <c r="M25" s="8" t="s">
        <v>27</v>
      </c>
      <c r="N25" s="8" t="s">
        <v>27</v>
      </c>
      <c r="O25" s="8" t="s">
        <v>27</v>
      </c>
      <c r="P25" s="8" t="s">
        <v>27</v>
      </c>
      <c r="Q25" s="8" t="s">
        <v>27</v>
      </c>
      <c r="R25" s="8" t="s">
        <v>27</v>
      </c>
      <c r="S25" s="8" t="s">
        <v>27</v>
      </c>
      <c r="T25" s="8" t="s">
        <v>27</v>
      </c>
      <c r="U25" s="8" t="s">
        <v>27</v>
      </c>
      <c r="V25" s="8" t="s">
        <v>27</v>
      </c>
      <c r="W25" s="6">
        <v>0</v>
      </c>
      <c r="X25" s="8" t="s">
        <v>27</v>
      </c>
    </row>
    <row r="26" spans="1:24" ht="29.25" customHeight="1">
      <c r="A26" s="5" t="s">
        <v>50</v>
      </c>
      <c r="B26" s="5" t="s">
        <v>100</v>
      </c>
      <c r="C26" s="5"/>
      <c r="D26" s="8" t="s">
        <v>27</v>
      </c>
      <c r="E26" s="20" t="s">
        <v>114</v>
      </c>
      <c r="F26" s="8" t="s">
        <v>27</v>
      </c>
      <c r="G26" s="8" t="s">
        <v>27</v>
      </c>
      <c r="H26" s="8" t="s">
        <v>27</v>
      </c>
      <c r="I26" s="8" t="s">
        <v>27</v>
      </c>
      <c r="J26" s="8" t="s">
        <v>27</v>
      </c>
      <c r="K26" s="8" t="s">
        <v>27</v>
      </c>
      <c r="L26" s="8" t="s">
        <v>27</v>
      </c>
      <c r="M26" s="8" t="s">
        <v>27</v>
      </c>
      <c r="N26" s="8" t="s">
        <v>27</v>
      </c>
      <c r="O26" s="8" t="s">
        <v>27</v>
      </c>
      <c r="P26" s="8" t="s">
        <v>27</v>
      </c>
      <c r="Q26" s="8" t="s">
        <v>27</v>
      </c>
      <c r="R26" s="8" t="s">
        <v>27</v>
      </c>
      <c r="S26" s="8" t="s">
        <v>27</v>
      </c>
      <c r="T26" s="8" t="s">
        <v>27</v>
      </c>
      <c r="U26" s="8" t="s">
        <v>27</v>
      </c>
      <c r="V26" s="8" t="s">
        <v>27</v>
      </c>
      <c r="W26" s="6">
        <v>0</v>
      </c>
      <c r="X26" s="8" t="s">
        <v>27</v>
      </c>
    </row>
    <row r="27" spans="1:24" ht="39" customHeight="1">
      <c r="A27" s="5" t="s">
        <v>78</v>
      </c>
      <c r="B27" s="5" t="s">
        <v>79</v>
      </c>
      <c r="C27" s="5" t="s">
        <v>73</v>
      </c>
      <c r="D27" s="8" t="s">
        <v>27</v>
      </c>
      <c r="E27" s="21" t="s">
        <v>101</v>
      </c>
      <c r="F27" s="8" t="s">
        <v>27</v>
      </c>
      <c r="G27" s="8" t="s">
        <v>27</v>
      </c>
      <c r="H27" s="8" t="s">
        <v>27</v>
      </c>
      <c r="I27" s="8" t="s">
        <v>27</v>
      </c>
      <c r="J27" s="8" t="s">
        <v>27</v>
      </c>
      <c r="K27" s="8" t="s">
        <v>27</v>
      </c>
      <c r="L27" s="8" t="s">
        <v>27</v>
      </c>
      <c r="M27" s="8" t="s">
        <v>27</v>
      </c>
      <c r="N27" s="8" t="s">
        <v>27</v>
      </c>
      <c r="O27" s="8" t="s">
        <v>27</v>
      </c>
      <c r="P27" s="8" t="s">
        <v>27</v>
      </c>
      <c r="Q27" s="8" t="s">
        <v>27</v>
      </c>
      <c r="R27" s="8" t="s">
        <v>27</v>
      </c>
      <c r="S27" s="8" t="s">
        <v>27</v>
      </c>
      <c r="T27" s="8" t="s">
        <v>27</v>
      </c>
      <c r="U27" s="8" t="s">
        <v>27</v>
      </c>
      <c r="V27" s="8" t="s">
        <v>27</v>
      </c>
      <c r="W27" s="6">
        <v>0</v>
      </c>
      <c r="X27" s="8" t="s">
        <v>27</v>
      </c>
    </row>
    <row r="28" spans="1:24" ht="36.4" customHeight="1">
      <c r="A28" s="16" t="s">
        <v>78</v>
      </c>
      <c r="B28" s="17" t="s">
        <v>80</v>
      </c>
      <c r="C28" s="17" t="s">
        <v>73</v>
      </c>
      <c r="D28" s="8" t="s">
        <v>27</v>
      </c>
      <c r="E28" s="21" t="s">
        <v>101</v>
      </c>
      <c r="F28" s="8" t="s">
        <v>27</v>
      </c>
      <c r="G28" s="8" t="s">
        <v>27</v>
      </c>
      <c r="H28" s="8" t="s">
        <v>27</v>
      </c>
      <c r="I28" s="8" t="s">
        <v>27</v>
      </c>
      <c r="J28" s="8" t="s">
        <v>27</v>
      </c>
      <c r="K28" s="8" t="s">
        <v>27</v>
      </c>
      <c r="L28" s="8" t="s">
        <v>27</v>
      </c>
      <c r="M28" s="8" t="s">
        <v>27</v>
      </c>
      <c r="N28" s="8" t="s">
        <v>27</v>
      </c>
      <c r="O28" s="8" t="s">
        <v>27</v>
      </c>
      <c r="P28" s="8" t="s">
        <v>27</v>
      </c>
      <c r="Q28" s="8" t="s">
        <v>27</v>
      </c>
      <c r="R28" s="8" t="s">
        <v>27</v>
      </c>
      <c r="S28" s="8" t="s">
        <v>27</v>
      </c>
      <c r="T28" s="8" t="s">
        <v>27</v>
      </c>
      <c r="U28" s="8" t="s">
        <v>27</v>
      </c>
      <c r="V28" s="8" t="s">
        <v>27</v>
      </c>
      <c r="W28" s="6">
        <v>0</v>
      </c>
      <c r="X28" s="8" t="s">
        <v>27</v>
      </c>
    </row>
    <row r="29" spans="1:24" ht="36.4" customHeight="1">
      <c r="A29" s="5" t="s">
        <v>78</v>
      </c>
      <c r="B29" s="5" t="s">
        <v>81</v>
      </c>
      <c r="C29" s="5" t="s">
        <v>73</v>
      </c>
      <c r="D29" s="8" t="s">
        <v>27</v>
      </c>
      <c r="E29" s="21" t="s">
        <v>101</v>
      </c>
      <c r="F29" s="8" t="s">
        <v>27</v>
      </c>
      <c r="G29" s="8" t="s">
        <v>27</v>
      </c>
      <c r="H29" s="8" t="s">
        <v>27</v>
      </c>
      <c r="I29" s="8" t="s">
        <v>27</v>
      </c>
      <c r="J29" s="8" t="s">
        <v>27</v>
      </c>
      <c r="K29" s="8" t="s">
        <v>27</v>
      </c>
      <c r="L29" s="8" t="s">
        <v>27</v>
      </c>
      <c r="M29" s="8" t="s">
        <v>27</v>
      </c>
      <c r="N29" s="8" t="s">
        <v>27</v>
      </c>
      <c r="O29" s="8" t="s">
        <v>27</v>
      </c>
      <c r="P29" s="8" t="s">
        <v>27</v>
      </c>
      <c r="Q29" s="8" t="s">
        <v>27</v>
      </c>
      <c r="R29" s="8" t="s">
        <v>27</v>
      </c>
      <c r="S29" s="8" t="s">
        <v>27</v>
      </c>
      <c r="T29" s="8" t="s">
        <v>27</v>
      </c>
      <c r="U29" s="8" t="s">
        <v>27</v>
      </c>
      <c r="V29" s="8" t="s">
        <v>27</v>
      </c>
      <c r="W29" s="6">
        <v>0</v>
      </c>
      <c r="X29" s="8" t="s">
        <v>27</v>
      </c>
    </row>
    <row r="30" spans="1:24" ht="36.4" customHeight="1">
      <c r="A30" s="16" t="s">
        <v>78</v>
      </c>
      <c r="B30" s="17" t="s">
        <v>82</v>
      </c>
      <c r="C30" s="17" t="s">
        <v>73</v>
      </c>
      <c r="D30" s="8" t="s">
        <v>27</v>
      </c>
      <c r="E30" s="20" t="s">
        <v>115</v>
      </c>
      <c r="F30" s="8" t="s">
        <v>27</v>
      </c>
      <c r="G30" s="8" t="s">
        <v>27</v>
      </c>
      <c r="H30" s="8" t="s">
        <v>27</v>
      </c>
      <c r="I30" s="8" t="s">
        <v>27</v>
      </c>
      <c r="J30" s="8" t="s">
        <v>27</v>
      </c>
      <c r="K30" s="8" t="s">
        <v>27</v>
      </c>
      <c r="L30" s="8" t="s">
        <v>27</v>
      </c>
      <c r="M30" s="8" t="s">
        <v>27</v>
      </c>
      <c r="N30" s="8" t="s">
        <v>27</v>
      </c>
      <c r="O30" s="8" t="s">
        <v>27</v>
      </c>
      <c r="P30" s="8" t="s">
        <v>27</v>
      </c>
      <c r="Q30" s="8" t="s">
        <v>27</v>
      </c>
      <c r="R30" s="8" t="s">
        <v>27</v>
      </c>
      <c r="S30" s="8" t="s">
        <v>27</v>
      </c>
      <c r="T30" s="8" t="s">
        <v>27</v>
      </c>
      <c r="U30" s="8" t="s">
        <v>27</v>
      </c>
      <c r="V30" s="8" t="s">
        <v>27</v>
      </c>
      <c r="W30" s="6">
        <v>0</v>
      </c>
      <c r="X30" s="8" t="s">
        <v>27</v>
      </c>
    </row>
    <row r="31" spans="1:24" ht="63.75" customHeight="1">
      <c r="A31" s="5" t="s">
        <v>78</v>
      </c>
      <c r="B31" s="5" t="s">
        <v>83</v>
      </c>
      <c r="C31" s="5" t="s">
        <v>73</v>
      </c>
      <c r="D31" s="8" t="s">
        <v>27</v>
      </c>
      <c r="E31" s="8" t="s">
        <v>27</v>
      </c>
      <c r="F31" s="8" t="s">
        <v>27</v>
      </c>
      <c r="G31" s="8" t="s">
        <v>27</v>
      </c>
      <c r="H31" s="8" t="s">
        <v>27</v>
      </c>
      <c r="I31" s="8" t="s">
        <v>27</v>
      </c>
      <c r="J31" s="8" t="s">
        <v>27</v>
      </c>
      <c r="K31" s="8" t="s">
        <v>27</v>
      </c>
      <c r="L31" s="8" t="s">
        <v>27</v>
      </c>
      <c r="M31" s="8" t="s">
        <v>27</v>
      </c>
      <c r="N31" s="8" t="s">
        <v>27</v>
      </c>
      <c r="O31" s="8" t="s">
        <v>27</v>
      </c>
      <c r="P31" s="8" t="s">
        <v>27</v>
      </c>
      <c r="Q31" s="8" t="s">
        <v>27</v>
      </c>
      <c r="R31" s="8" t="s">
        <v>27</v>
      </c>
      <c r="S31" s="8" t="s">
        <v>27</v>
      </c>
      <c r="T31" s="8" t="s">
        <v>27</v>
      </c>
      <c r="U31" s="8" t="s">
        <v>27</v>
      </c>
      <c r="V31" s="8" t="s">
        <v>27</v>
      </c>
      <c r="W31" s="6">
        <v>0</v>
      </c>
      <c r="X31" s="8" t="s">
        <v>27</v>
      </c>
    </row>
  </sheetData>
  <phoneticPr fontId="4" type="noConversion"/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3.5"/>
  <cols>
    <col min="1" max="3" width="18" customWidth="1"/>
    <col min="4" max="4" width="28" customWidth="1"/>
    <col min="5" max="8" width="18" customWidth="1"/>
  </cols>
  <sheetData>
    <row r="1" spans="1:8" ht="13.9">
      <c r="A1" s="1" t="s">
        <v>55</v>
      </c>
      <c r="B1" s="1"/>
      <c r="C1" s="1"/>
      <c r="D1" s="1"/>
      <c r="E1" s="1"/>
      <c r="F1" s="1"/>
      <c r="G1" s="1"/>
      <c r="H1" s="1"/>
    </row>
    <row r="3" spans="1:8" ht="13.9">
      <c r="A3" s="2" t="s">
        <v>0</v>
      </c>
      <c r="B3" s="2" t="s">
        <v>56</v>
      </c>
      <c r="C3" s="1"/>
      <c r="D3" s="2" t="s">
        <v>57</v>
      </c>
      <c r="E3" s="2" t="s">
        <v>26</v>
      </c>
      <c r="F3" s="2" t="s">
        <v>32</v>
      </c>
      <c r="G3" s="2" t="s">
        <v>31</v>
      </c>
      <c r="H3" s="2" t="s">
        <v>27</v>
      </c>
    </row>
    <row r="4" spans="1:8">
      <c r="A4" t="s">
        <v>23</v>
      </c>
      <c r="B4">
        <v>3</v>
      </c>
      <c r="D4" t="s">
        <v>5</v>
      </c>
      <c r="E4">
        <v>9</v>
      </c>
      <c r="F4">
        <v>0</v>
      </c>
      <c r="G4">
        <v>0</v>
      </c>
      <c r="H4">
        <v>3</v>
      </c>
    </row>
    <row r="5" spans="1:8">
      <c r="A5" t="s">
        <v>36</v>
      </c>
      <c r="B5">
        <v>2</v>
      </c>
      <c r="D5" t="s">
        <v>6</v>
      </c>
      <c r="E5">
        <v>8</v>
      </c>
      <c r="F5">
        <v>0</v>
      </c>
      <c r="G5">
        <v>0</v>
      </c>
      <c r="H5">
        <v>4</v>
      </c>
    </row>
    <row r="6" spans="1:8">
      <c r="A6" t="s">
        <v>41</v>
      </c>
      <c r="B6">
        <v>3</v>
      </c>
      <c r="D6" t="s">
        <v>7</v>
      </c>
      <c r="E6">
        <v>8</v>
      </c>
      <c r="F6">
        <v>2</v>
      </c>
      <c r="G6">
        <v>0</v>
      </c>
      <c r="H6">
        <v>2</v>
      </c>
    </row>
    <row r="7" spans="1:8">
      <c r="A7" t="s">
        <v>46</v>
      </c>
      <c r="B7">
        <v>2</v>
      </c>
      <c r="D7" t="s">
        <v>8</v>
      </c>
      <c r="E7">
        <v>8</v>
      </c>
      <c r="F7">
        <v>0</v>
      </c>
      <c r="G7">
        <v>0</v>
      </c>
      <c r="H7">
        <v>4</v>
      </c>
    </row>
    <row r="8" spans="1:8">
      <c r="A8" t="s">
        <v>50</v>
      </c>
      <c r="B8">
        <v>2</v>
      </c>
      <c r="D8" t="s">
        <v>9</v>
      </c>
      <c r="E8">
        <v>11</v>
      </c>
      <c r="F8">
        <v>0</v>
      </c>
      <c r="G8">
        <v>0</v>
      </c>
      <c r="H8">
        <v>1</v>
      </c>
    </row>
    <row r="9" spans="1:8">
      <c r="D9" t="s">
        <v>10</v>
      </c>
      <c r="E9">
        <v>11</v>
      </c>
      <c r="F9">
        <v>0</v>
      </c>
      <c r="G9">
        <v>0</v>
      </c>
      <c r="H9">
        <v>1</v>
      </c>
    </row>
    <row r="10" spans="1:8">
      <c r="D10" t="s">
        <v>11</v>
      </c>
      <c r="E10">
        <v>9</v>
      </c>
      <c r="F10">
        <v>0</v>
      </c>
      <c r="G10">
        <v>0</v>
      </c>
      <c r="H10">
        <v>3</v>
      </c>
    </row>
    <row r="11" spans="1:8">
      <c r="D11" t="s">
        <v>12</v>
      </c>
      <c r="E11">
        <v>8</v>
      </c>
      <c r="F11">
        <v>0</v>
      </c>
      <c r="G11">
        <v>0</v>
      </c>
      <c r="H11">
        <v>4</v>
      </c>
    </row>
    <row r="12" spans="1:8">
      <c r="D12" t="s">
        <v>13</v>
      </c>
      <c r="E12">
        <v>8</v>
      </c>
      <c r="F12">
        <v>1</v>
      </c>
      <c r="G12">
        <v>0</v>
      </c>
      <c r="H12">
        <v>3</v>
      </c>
    </row>
    <row r="13" spans="1:8">
      <c r="D13" t="s">
        <v>14</v>
      </c>
      <c r="E13">
        <v>8</v>
      </c>
      <c r="F13">
        <v>0</v>
      </c>
      <c r="G13">
        <v>0</v>
      </c>
      <c r="H13">
        <v>4</v>
      </c>
    </row>
    <row r="14" spans="1:8">
      <c r="D14" t="s">
        <v>15</v>
      </c>
      <c r="E14">
        <v>11</v>
      </c>
      <c r="F14">
        <v>0</v>
      </c>
      <c r="G14">
        <v>0</v>
      </c>
      <c r="H14">
        <v>1</v>
      </c>
    </row>
    <row r="15" spans="1:8">
      <c r="D15" t="s">
        <v>16</v>
      </c>
      <c r="E15">
        <v>5</v>
      </c>
      <c r="F15">
        <v>1</v>
      </c>
      <c r="G15">
        <v>0</v>
      </c>
      <c r="H15">
        <v>6</v>
      </c>
    </row>
    <row r="16" spans="1:8">
      <c r="D16" t="s">
        <v>17</v>
      </c>
      <c r="E16">
        <v>9</v>
      </c>
      <c r="F16">
        <v>2</v>
      </c>
      <c r="G16">
        <v>0</v>
      </c>
      <c r="H16">
        <v>1</v>
      </c>
    </row>
    <row r="17" spans="4:8">
      <c r="D17" t="s">
        <v>18</v>
      </c>
      <c r="E17">
        <v>7</v>
      </c>
      <c r="F17">
        <v>0</v>
      </c>
      <c r="G17">
        <v>0</v>
      </c>
      <c r="H17">
        <v>5</v>
      </c>
    </row>
    <row r="18" spans="4:8">
      <c r="D18" t="s">
        <v>19</v>
      </c>
      <c r="E18">
        <v>10</v>
      </c>
      <c r="F18">
        <v>0</v>
      </c>
      <c r="G18">
        <v>0</v>
      </c>
      <c r="H18">
        <v>2</v>
      </c>
    </row>
    <row r="19" spans="4:8">
      <c r="D19" t="s">
        <v>20</v>
      </c>
      <c r="E19">
        <v>1</v>
      </c>
      <c r="F19">
        <v>7</v>
      </c>
      <c r="G19">
        <v>0</v>
      </c>
      <c r="H19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.5"/>
  <cols>
    <col min="1" max="1" width="32" customWidth="1"/>
    <col min="2" max="2" width="86" customWidth="1"/>
  </cols>
  <sheetData>
    <row r="1" spans="1:2" ht="13.9">
      <c r="A1" s="3" t="s">
        <v>58</v>
      </c>
      <c r="B1" s="3" t="s">
        <v>59</v>
      </c>
    </row>
    <row r="2" spans="1:2">
      <c r="A2" s="10" t="s">
        <v>26</v>
      </c>
      <c r="B2" s="4" t="s">
        <v>60</v>
      </c>
    </row>
    <row r="3" spans="1:2">
      <c r="A3" s="11" t="s">
        <v>32</v>
      </c>
      <c r="B3" s="4" t="s">
        <v>61</v>
      </c>
    </row>
    <row r="4" spans="1:2">
      <c r="A4" s="12" t="s">
        <v>31</v>
      </c>
      <c r="B4" s="4" t="s">
        <v>62</v>
      </c>
    </row>
    <row r="5" spans="1:2">
      <c r="A5" s="13" t="s">
        <v>27</v>
      </c>
      <c r="B5" s="4" t="s">
        <v>63</v>
      </c>
    </row>
    <row r="6" spans="1:2">
      <c r="A6" s="14" t="s">
        <v>30</v>
      </c>
      <c r="B6" s="4" t="s">
        <v>64</v>
      </c>
    </row>
    <row r="7" spans="1:2">
      <c r="A7" s="15" t="s">
        <v>25</v>
      </c>
      <c r="B7" s="4" t="s">
        <v>65</v>
      </c>
    </row>
    <row r="8" spans="1:2">
      <c r="A8" s="4"/>
      <c r="B8" s="4"/>
    </row>
    <row r="9" spans="1:2" ht="27">
      <c r="A9" s="4" t="s">
        <v>66</v>
      </c>
      <c r="B9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Robot x Attributi</vt:lpstr>
      <vt:lpstr>Riepilogo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MORGHEN</cp:lastModifiedBy>
  <dcterms:created xsi:type="dcterms:W3CDTF">2026-04-28T09:32:41Z</dcterms:created>
  <dcterms:modified xsi:type="dcterms:W3CDTF">2026-04-30T13:47:47Z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2026-04-28T09:32:35Z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341b266c-9f86-423e-b9bb-bf2877d0a03d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